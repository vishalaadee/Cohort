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ollege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<sst xmlns="http://schemas.openxmlformats.org/spreadsheetml/2006/main" count="43" uniqueCount="43">
  <si>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Assumptions</t>
  </si>
  <si>
    <t xml:space="preserve">Blue = edit these. Yellow = key pricing/cost levers to test.</t>
  </si>
  <si>
    <t xml:space="preserve">Pricing</t>
  </si>
  <si>
    <t xml:space="preserve">Price per student / year (₹)</t>
  </si>
  <si>
    <t xml:space="preserve">Payment processing fee (% of revenue)</t>
  </si>
  <si>
    <t xml:space="preserve">Fixed platform cost — per month</t>
  </si>
  <si>
    <t xml:space="preserve">Infra: EC2 + EBS + backups (₹/mo)</t>
  </si>
  <si>
    <t xml:space="preserve">Tooling: monitoring, errors, email base (₹/mo)</t>
  </si>
  <si>
    <t xml:space="preserve">Fixed cost per month (₹)</t>
  </si>
  <si>
    <t xml:space="preserve">Fixed cost per year (₹)</t>
  </si>
  <si>
    <t xml:space="preserve">Variable cost — per student / year</t>
  </si>
  <si>
    <t xml:space="preserve">Storage + email + egress per student/yr (₹)</t>
  </si>
  <si>
    <t xml:space="preserve">Per-college costs</t>
  </si>
  <si>
    <t xml:space="preserve">Onboarding — one-time (₹/college)</t>
  </si>
  <si>
    <t xml:space="preserve">Support (₹/college/year)</t>
  </si>
  <si>
    <t xml:space="preserve">Colleges</t>
  </si>
  <si>
    <t xml:space="preserve">Type in blue cells. Row 5 is a worked example — overwrite or add colleges below it. Grey columns compute themselves.</t>
  </si>
  <si>
    <t xml:space="preserve">College</t>
  </si>
  <si>
    <t xml:space="preserve">Students</t>
  </si>
  <si>
    <t xml:space="preserve">Price/student/yr (₹)</t>
  </si>
  <si>
    <t xml:space="preserve">ARR (₹)</t>
  </si>
  <si>
    <t xml:space="preserve">Variable cost/yr</t>
  </si>
  <si>
    <t xml:space="preserve">Support/yr</t>
  </si>
  <si>
    <t xml:space="preserve">Gross profit/yr</t>
  </si>
  <si>
    <t xml:space="preserve">Margin %</t>
  </si>
  <si>
    <t xml:space="preserve">Demo Institute of Technology</t>
  </si>
  <si>
    <t xml:space="preserve">TOTAL</t>
  </si>
  <si>
    <t xml:space="preserve">Summary</t>
  </si>
  <si>
    <t xml:space="preserve">Reads from Colleges + Assumptions. Blue cell = your available cash/credit.</t>
  </si>
  <si>
    <t xml:space="preserve">Colleges (paying)</t>
  </si>
  <si>
    <t xml:space="preserve">Total students</t>
  </si>
  <si>
    <t xml:space="preserve">ARR — annual recurring revenue (₹)</t>
  </si>
  <si>
    <t xml:space="preserve">MRR — monthly recurring revenue (₹)</t>
  </si>
  <si>
    <t xml:space="preserve">Variable cost / yr (₹)</t>
  </si>
  <si>
    <t xml:space="preserve">Support cost / yr (₹)</t>
  </si>
  <si>
    <t xml:space="preserve">Fixed platform cost / yr (₹)</t>
  </si>
  <si>
    <t xml:space="preserve">Total cost to serve / yr (₹)</t>
  </si>
  <si>
    <t xml:space="preserve">Gross profit / yr (₹)</t>
  </si>
  <si>
    <t xml:space="preserve">Blended gross margin</t>
  </si>
  <si>
    <t xml:space="preserve">Cost to serve per student / yr (₹)</t>
  </si>
  <si>
    <t xml:space="preserve">Cash / AWS credit available (₹)</t>
  </si>
  <si>
    <t xml:space="preserve">Net monthly result (₹)  [+ = profit]</t>
  </si>
  <si>
    <t xml:space="preserve">Runway if unprofitable (months)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</si>
</sst>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;&quot;(₹&quot;#,##0\);\-"/>
    <numFmt numFmtId="166" formatCode="0.0%"/>
    <numFmt numFmtId="167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E1B33"/>
      <name val="Arial"/>
      <family val="0"/>
      <charset val="1"/>
    </font>
    <font>
      <i val="true"/>
      <sz val="9"/>
      <color rgb="FF5B6788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E1B33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D6E6"/>
      </left>
      <right style="thin">
        <color rgb="FFCFD6E6"/>
      </right>
      <top style="thin">
        <color rgb="FFCFD6E6"/>
      </top>
      <bottom style="thin">
        <color rgb="FFCFD6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D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788"/>
      <rgbColor rgb="FF969696"/>
      <rgbColor rgb="FF0E1B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  <c r="B4" s="3" t="n">
        <v>120</v>
      </c>
    </row>
    <row r="5" customFormat="false" ht="15" hidden="false" customHeight="false" outlineLevel="0" collapsed="false">
      <c r="A5" s="0" t="s">
        <v>4</v>
      </c>
      <c r="B5" s="4" t="n">
        <v>0.02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0" t="s">
        <v>6</v>
      </c>
      <c r="B8" s="5" t="n">
        <v>1600</v>
      </c>
    </row>
    <row r="9" customFormat="false" ht="15" hidden="false" customHeight="false" outlineLevel="0" collapsed="false">
      <c r="A9" s="0" t="s">
        <v>7</v>
      </c>
      <c r="B9" s="5" t="n">
        <v>800</v>
      </c>
    </row>
    <row r="10" customFormat="false" ht="15" hidden="false" customHeight="false" outlineLevel="0" collapsed="false">
      <c r="A10" s="0" t="s">
        <v>8</v>
      </c>
      <c r="B10" s="6" t="n">
        <f aca="false">SUM(B7:B8)</f>
        <v>1600</v>
      </c>
    </row>
    <row r="11" customFormat="false" ht="15" hidden="false" customHeight="false" outlineLevel="0" collapsed="false">
      <c r="A11" s="0" t="s">
        <v>9</v>
      </c>
      <c r="B11" s="6" t="n">
        <f aca="false">B9*12</f>
        <v>9600</v>
      </c>
    </row>
    <row r="13" customFormat="false" ht="15" hidden="false" customHeight="false" outlineLevel="0" collapsed="false">
      <c r="A13" s="0" t="s">
        <v>10</v>
      </c>
    </row>
    <row r="14" customFormat="false" ht="15" hidden="false" customHeight="false" outlineLevel="0" collapsed="false">
      <c r="A14" s="0" t="s">
        <v>11</v>
      </c>
      <c r="B14" s="5" t="n">
        <v>15</v>
      </c>
    </row>
    <row r="16" customFormat="false" ht="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0" t="s">
        <v>13</v>
      </c>
      <c r="B17" s="5" t="n">
        <v>5000</v>
      </c>
    </row>
    <row r="18" customFormat="false" ht="15" hidden="false" customHeight="false" outlineLevel="0" collapsed="false">
      <c r="A18" s="0" t="s">
        <v>14</v>
      </c>
      <c r="B18" s="5" t="n">
        <v>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16</v>
      </c>
    </row>
    <row r="4" customFormat="false" ht="15" hidden="false" customHeight="false" outlineLevel="0" collapsed="false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</row>
    <row r="5" customFormat="false" ht="15" hidden="false" customHeight="false" outlineLevel="0" collapsed="false">
      <c r="A5" s="8" t="s">
        <v>25</v>
      </c>
      <c r="B5" s="9" t="n">
        <v>2000</v>
      </c>
      <c r="C5" s="10" t="n">
        <f aca="false">Assumptions!$B$4</f>
        <v>120</v>
      </c>
      <c r="D5" s="11" t="n">
        <f aca="false">IF($B5="","",$B5*$C5)</f>
        <v>240000</v>
      </c>
      <c r="E5" s="11" t="n">
        <f aca="false">IF($B5="","",$B5*Assumptions!$B$14)</f>
        <v>30000</v>
      </c>
      <c r="F5" s="11" t="n">
        <f aca="false">IF($B5="","",Assumptions!$B$18)</f>
        <v>6000</v>
      </c>
      <c r="G5" s="11" t="n">
        <f aca="false">IF($B5="","",$D5-$E5-$F5-$D5*Assumptions!$B$5)</f>
        <v>199200</v>
      </c>
      <c r="H5" s="12" t="n">
        <f aca="false">IF($D5="","",IFERROR($G5/$D5,0))</f>
        <v>0.83</v>
      </c>
    </row>
    <row r="6" customFormat="false" ht="15" hidden="false" customHeight="false" outlineLevel="0" collapsed="false">
      <c r="A6" s="8"/>
      <c r="B6" s="9"/>
      <c r="C6" s="10"/>
      <c r="D6" s="11" t="str">
        <f aca="false">IF($B6="","",$B6*$C6)</f>
        <v/>
      </c>
      <c r="E6" s="11" t="str">
        <f aca="false">IF($B6="","",$B6*Assumptions!$B$14)</f>
        <v/>
      </c>
      <c r="F6" s="11" t="str">
        <f aca="false">IF($B6="","",Assumptions!$B$18)</f>
        <v/>
      </c>
      <c r="G6" s="11" t="str">
        <f aca="false">IF($B6="","",$D6-$E6-$F6-$D6*Assumptions!$B$5)</f>
        <v/>
      </c>
      <c r="H6" s="12" t="str">
        <f aca="false">IF($D6="","",IFERROR($G6/$D6,0))</f>
        <v/>
      </c>
    </row>
    <row r="7" customFormat="false" ht="15" hidden="false" customHeight="false" outlineLevel="0" collapsed="false">
      <c r="A7" s="8"/>
      <c r="B7" s="9"/>
      <c r="C7" s="10"/>
      <c r="D7" s="11" t="str">
        <f aca="false">IF($B7="","",$B7*$C7)</f>
        <v/>
      </c>
      <c r="E7" s="11" t="str">
        <f aca="false">IF($B7="","",$B7*Assumptions!$B$14)</f>
        <v/>
      </c>
      <c r="F7" s="11" t="str">
        <f aca="false">IF($B7="","",Assumptions!$B$18)</f>
        <v/>
      </c>
      <c r="G7" s="11" t="str">
        <f aca="false">IF($B7="","",$D7-$E7-$F7-$D7*Assumptions!$B$5)</f>
        <v/>
      </c>
      <c r="H7" s="12" t="str">
        <f aca="false">IF($D7="","",IFERROR($G7/$D7,0))</f>
        <v/>
      </c>
    </row>
    <row r="8" customFormat="false" ht="15" hidden="false" customHeight="false" outlineLevel="0" collapsed="false">
      <c r="A8" s="8"/>
      <c r="B8" s="9"/>
      <c r="C8" s="10"/>
      <c r="D8" s="11" t="str">
        <f aca="false">IF($B8="","",$B8*$C8)</f>
        <v/>
      </c>
      <c r="E8" s="11" t="str">
        <f aca="false">IF($B8="","",$B8*Assumptions!$B$14)</f>
        <v/>
      </c>
      <c r="F8" s="11" t="str">
        <f aca="false">IF($B8="","",Assumptions!$B$18)</f>
        <v/>
      </c>
      <c r="G8" s="11" t="str">
        <f aca="false">IF($B8="","",$D8-$E8-$F8-$D8*Assumptions!$B$5)</f>
        <v/>
      </c>
      <c r="H8" s="12" t="str">
        <f aca="false">IF($D8="","",IFERROR($G8/$D8,0))</f>
        <v/>
      </c>
    </row>
    <row r="9" customFormat="false" ht="15" hidden="false" customHeight="false" outlineLevel="0" collapsed="false">
      <c r="A9" s="8"/>
      <c r="B9" s="9"/>
      <c r="C9" s="10"/>
      <c r="D9" s="11" t="str">
        <f aca="false">IF($B9="","",$B9*$C9)</f>
        <v/>
      </c>
      <c r="E9" s="11" t="str">
        <f aca="false">IF($B9="","",$B9*Assumptions!$B$14)</f>
        <v/>
      </c>
      <c r="F9" s="11" t="str">
        <f aca="false">IF($B9="","",Assumptions!$B$18)</f>
        <v/>
      </c>
      <c r="G9" s="11" t="str">
        <f aca="false">IF($B9="","",$D9-$E9-$F9-$D9*Assumptions!$B$5)</f>
        <v/>
      </c>
      <c r="H9" s="12" t="str">
        <f aca="false">IF($D9="","",IFERROR($G9/$D9,0))</f>
        <v/>
      </c>
    </row>
    <row r="10" customFormat="false" ht="15" hidden="false" customHeight="false" outlineLevel="0" collapsed="false">
      <c r="A10" s="8"/>
      <c r="B10" s="9"/>
      <c r="C10" s="10"/>
      <c r="D10" s="11" t="str">
        <f aca="false">IF($B10="","",$B10*$C10)</f>
        <v/>
      </c>
      <c r="E10" s="11" t="str">
        <f aca="false">IF($B10="","",$B10*Assumptions!$B$14)</f>
        <v/>
      </c>
      <c r="F10" s="11" t="str">
        <f aca="false">IF($B10="","",Assumptions!$B$18)</f>
        <v/>
      </c>
      <c r="G10" s="11" t="str">
        <f aca="false">IF($B10="","",$D10-$E10-$F10-$D10*Assumptions!$B$5)</f>
        <v/>
      </c>
      <c r="H10" s="12" t="str">
        <f aca="false">IF($D10="","",IFERROR($G10/$D10,0))</f>
        <v/>
      </c>
    </row>
    <row r="11" customFormat="false" ht="15" hidden="false" customHeight="false" outlineLevel="0" collapsed="false">
      <c r="A11" s="8"/>
      <c r="B11" s="9"/>
      <c r="C11" s="10"/>
      <c r="D11" s="11" t="str">
        <f aca="false">IF($B11="","",$B11*$C11)</f>
        <v/>
      </c>
      <c r="E11" s="11" t="str">
        <f aca="false">IF($B11="","",$B11*Assumptions!$B$14)</f>
        <v/>
      </c>
      <c r="F11" s="11" t="str">
        <f aca="false">IF($B11="","",Assumptions!$B$18)</f>
        <v/>
      </c>
      <c r="G11" s="11" t="str">
        <f aca="false">IF($B11="","",$D11-$E11-$F11-$D11*Assumptions!$B$5)</f>
        <v/>
      </c>
      <c r="H11" s="12" t="str">
        <f aca="false">IF($D11="","",IFERROR($G11/$D11,0))</f>
        <v/>
      </c>
    </row>
    <row r="12" customFormat="false" ht="15" hidden="false" customHeight="false" outlineLevel="0" collapsed="false">
      <c r="A12" s="8"/>
      <c r="B12" s="9"/>
      <c r="C12" s="10"/>
      <c r="D12" s="11" t="str">
        <f aca="false">IF($B12="","",$B12*$C12)</f>
        <v/>
      </c>
      <c r="E12" s="11" t="str">
        <f aca="false">IF($B12="","",$B12*Assumptions!$B$14)</f>
        <v/>
      </c>
      <c r="F12" s="11" t="str">
        <f aca="false">IF($B12="","",Assumptions!$B$18)</f>
        <v/>
      </c>
      <c r="G12" s="11" t="str">
        <f aca="false">IF($B12="","",$D12-$E12-$F12-$D12*Assumptions!$B$5)</f>
        <v/>
      </c>
      <c r="H12" s="12" t="str">
        <f aca="false">IF($D12="","",IFERROR($G12/$D12,0))</f>
        <v/>
      </c>
    </row>
    <row r="13" customFormat="false" ht="15" hidden="false" customHeight="false" outlineLevel="0" collapsed="false">
      <c r="A13" s="8"/>
      <c r="B13" s="9"/>
      <c r="C13" s="10"/>
      <c r="D13" s="11" t="str">
        <f aca="false">IF($B13="","",$B13*$C13)</f>
        <v/>
      </c>
      <c r="E13" s="11" t="str">
        <f aca="false">IF($B13="","",$B13*Assumptions!$B$14)</f>
        <v/>
      </c>
      <c r="F13" s="11" t="str">
        <f aca="false">IF($B13="","",Assumptions!$B$18)</f>
        <v/>
      </c>
      <c r="G13" s="11" t="str">
        <f aca="false">IF($B13="","",$D13-$E13-$F13-$D13*Assumptions!$B$5)</f>
        <v/>
      </c>
      <c r="H13" s="12" t="str">
        <f aca="false">IF($D13="","",IFERROR($G13/$D13,0))</f>
        <v/>
      </c>
    </row>
    <row r="14" customFormat="false" ht="15" hidden="false" customHeight="false" outlineLevel="0" collapsed="false">
      <c r="A14" s="8"/>
      <c r="B14" s="9"/>
      <c r="C14" s="10"/>
      <c r="D14" s="11" t="str">
        <f aca="false">IF($B14="","",$B14*$C14)</f>
        <v/>
      </c>
      <c r="E14" s="11" t="str">
        <f aca="false">IF($B14="","",$B14*Assumptions!$B$14)</f>
        <v/>
      </c>
      <c r="F14" s="11" t="str">
        <f aca="false">IF($B14="","",Assumptions!$B$18)</f>
        <v/>
      </c>
      <c r="G14" s="11" t="str">
        <f aca="false">IF($B14="","",$D14-$E14-$F14-$D14*Assumptions!$B$5)</f>
        <v/>
      </c>
      <c r="H14" s="12" t="str">
        <f aca="false">IF($D14="","",IFERROR($G14/$D14,0))</f>
        <v/>
      </c>
    </row>
    <row r="15" customFormat="false" ht="15" hidden="false" customHeight="false" outlineLevel="0" collapsed="false">
      <c r="A15" s="8"/>
      <c r="B15" s="9"/>
      <c r="C15" s="10"/>
      <c r="D15" s="11" t="str">
        <f aca="false">IF($B15="","",$B15*$C15)</f>
        <v/>
      </c>
      <c r="E15" s="11" t="str">
        <f aca="false">IF($B15="","",$B15*Assumptions!$B$14)</f>
        <v/>
      </c>
      <c r="F15" s="11" t="str">
        <f aca="false">IF($B15="","",Assumptions!$B$18)</f>
        <v/>
      </c>
      <c r="G15" s="11" t="str">
        <f aca="false">IF($B15="","",$D15-$E15-$F15-$D15*Assumptions!$B$5)</f>
        <v/>
      </c>
      <c r="H15" s="12" t="str">
        <f aca="false">IF($D15="","",IFERROR($G15/$D15,0))</f>
        <v/>
      </c>
    </row>
    <row r="16" customFormat="false" ht="15" hidden="false" customHeight="false" outlineLevel="0" collapsed="false">
      <c r="A16" s="8"/>
      <c r="B16" s="9"/>
      <c r="C16" s="10"/>
      <c r="D16" s="11" t="str">
        <f aca="false">IF($B16="","",$B16*$C16)</f>
        <v/>
      </c>
      <c r="E16" s="11" t="str">
        <f aca="false">IF($B16="","",$B16*Assumptions!$B$14)</f>
        <v/>
      </c>
      <c r="F16" s="11" t="str">
        <f aca="false">IF($B16="","",Assumptions!$B$18)</f>
        <v/>
      </c>
      <c r="G16" s="11" t="str">
        <f aca="false">IF($B16="","",$D16-$E16-$F16-$D16*Assumptions!$B$5)</f>
        <v/>
      </c>
      <c r="H16" s="12" t="str">
        <f aca="false">IF($D16="","",IFERROR($G16/$D16,0))</f>
        <v/>
      </c>
    </row>
    <row r="17" customFormat="false" ht="15" hidden="false" customHeight="false" outlineLevel="0" collapsed="false">
      <c r="A17" s="8"/>
      <c r="B17" s="9"/>
      <c r="C17" s="10"/>
      <c r="D17" s="11" t="str">
        <f aca="false">IF($B17="","",$B17*$C17)</f>
        <v/>
      </c>
      <c r="E17" s="11" t="str">
        <f aca="false">IF($B17="","",$B17*Assumptions!$B$14)</f>
        <v/>
      </c>
      <c r="F17" s="11" t="str">
        <f aca="false">IF($B17="","",Assumptions!$B$18)</f>
        <v/>
      </c>
      <c r="G17" s="11" t="str">
        <f aca="false">IF($B17="","",$D17-$E17-$F17-$D17*Assumptions!$B$5)</f>
        <v/>
      </c>
      <c r="H17" s="12" t="str">
        <f aca="false">IF($D17="","",IFERROR($G17/$D17,0))</f>
        <v/>
      </c>
    </row>
    <row r="18" customFormat="false" ht="15" hidden="false" customHeight="false" outlineLevel="0" collapsed="false">
      <c r="A18" s="8"/>
      <c r="B18" s="9"/>
      <c r="C18" s="10"/>
      <c r="D18" s="11" t="str">
        <f aca="false">IF($B18="","",$B18*$C18)</f>
        <v/>
      </c>
      <c r="E18" s="11" t="str">
        <f aca="false">IF($B18="","",$B18*Assumptions!$B$14)</f>
        <v/>
      </c>
      <c r="F18" s="11" t="str">
        <f aca="false">IF($B18="","",Assumptions!$B$18)</f>
        <v/>
      </c>
      <c r="G18" s="11" t="str">
        <f aca="false">IF($B18="","",$D18-$E18-$F18-$D18*Assumptions!$B$5)</f>
        <v/>
      </c>
      <c r="H18" s="12" t="str">
        <f aca="false">IF($D18="","",IFERROR($G18/$D18,0))</f>
        <v/>
      </c>
    </row>
    <row r="19" customFormat="false" ht="15" hidden="false" customHeight="false" outlineLevel="0" collapsed="false">
      <c r="A19" s="8"/>
      <c r="B19" s="9"/>
      <c r="C19" s="10"/>
      <c r="D19" s="11" t="str">
        <f aca="false">IF($B19="","",$B19*$C19)</f>
        <v/>
      </c>
      <c r="E19" s="11" t="str">
        <f aca="false">IF($B19="","",$B19*Assumptions!$B$14)</f>
        <v/>
      </c>
      <c r="F19" s="11" t="str">
        <f aca="false">IF($B19="","",Assumptions!$B$18)</f>
        <v/>
      </c>
      <c r="G19" s="11" t="str">
        <f aca="false">IF($B19="","",$D19-$E19-$F19-$D19*Assumptions!$B$5)</f>
        <v/>
      </c>
      <c r="H19" s="12" t="str">
        <f aca="false">IF($D19="","",IFERROR($G19/$D19,0))</f>
        <v/>
      </c>
    </row>
    <row r="20" customFormat="false" ht="15" hidden="false" customHeight="false" outlineLevel="0" collapsed="false">
      <c r="A20" s="8"/>
      <c r="B20" s="9"/>
      <c r="C20" s="10"/>
      <c r="D20" s="11" t="str">
        <f aca="false">IF($B20="","",$B20*$C20)</f>
        <v/>
      </c>
      <c r="E20" s="11" t="str">
        <f aca="false">IF($B20="","",$B20*Assumptions!$B$14)</f>
        <v/>
      </c>
      <c r="F20" s="11" t="str">
        <f aca="false">IF($B20="","",Assumptions!$B$18)</f>
        <v/>
      </c>
      <c r="G20" s="11" t="str">
        <f aca="false">IF($B20="","",$D20-$E20-$F20-$D20*Assumptions!$B$5)</f>
        <v/>
      </c>
      <c r="H20" s="12" t="str">
        <f aca="false">IF($D20="","",IFERROR($G20/$D20,0))</f>
        <v/>
      </c>
    </row>
    <row r="21" customFormat="false" ht="15" hidden="false" customHeight="false" outlineLevel="0" collapsed="false">
      <c r="A21" s="8"/>
      <c r="B21" s="9"/>
      <c r="C21" s="10"/>
      <c r="D21" s="11" t="str">
        <f aca="false">IF($B21="","",$B21*$C21)</f>
        <v/>
      </c>
      <c r="E21" s="11" t="str">
        <f aca="false">IF($B21="","",$B21*Assumptions!$B$14)</f>
        <v/>
      </c>
      <c r="F21" s="11" t="str">
        <f aca="false">IF($B21="","",Assumptions!$B$18)</f>
        <v/>
      </c>
      <c r="G21" s="11" t="str">
        <f aca="false">IF($B21="","",$D21-$E21-$F21-$D21*Assumptions!$B$5)</f>
        <v/>
      </c>
      <c r="H21" s="12" t="str">
        <f aca="false">IF($D21="","",IFERROR($G21/$D21,0))</f>
        <v/>
      </c>
    </row>
    <row r="22" customFormat="false" ht="15" hidden="false" customHeight="false" outlineLevel="0" collapsed="false">
      <c r="A22" s="8"/>
      <c r="B22" s="9"/>
      <c r="C22" s="10"/>
      <c r="D22" s="11" t="str">
        <f aca="false">IF($B22="","",$B22*$C22)</f>
        <v/>
      </c>
      <c r="E22" s="11" t="str">
        <f aca="false">IF($B22="","",$B22*Assumptions!$B$14)</f>
        <v/>
      </c>
      <c r="F22" s="11" t="str">
        <f aca="false">IF($B22="","",Assumptions!$B$18)</f>
        <v/>
      </c>
      <c r="G22" s="11" t="str">
        <f aca="false">IF($B22="","",$D22-$E22-$F22-$D22*Assumptions!$B$5)</f>
        <v/>
      </c>
      <c r="H22" s="12" t="str">
        <f aca="false">IF($D22="","",IFERROR($G22/$D22,0))</f>
        <v/>
      </c>
    </row>
    <row r="23" customFormat="false" ht="15" hidden="false" customHeight="false" outlineLevel="0" collapsed="false">
      <c r="A23" s="8"/>
      <c r="B23" s="9"/>
      <c r="C23" s="10"/>
      <c r="D23" s="11" t="str">
        <f aca="false">IF($B23="","",$B23*$C23)</f>
        <v/>
      </c>
      <c r="E23" s="11" t="str">
        <f aca="false">IF($B23="","",$B23*Assumptions!$B$14)</f>
        <v/>
      </c>
      <c r="F23" s="11" t="str">
        <f aca="false">IF($B23="","",Assumptions!$B$18)</f>
        <v/>
      </c>
      <c r="G23" s="11" t="str">
        <f aca="false">IF($B23="","",$D23-$E23-$F23-$D23*Assumptions!$B$5)</f>
        <v/>
      </c>
      <c r="H23" s="12" t="str">
        <f aca="false">IF($D23="","",IFERROR($G23/$D23,0))</f>
        <v/>
      </c>
    </row>
    <row r="24" customFormat="false" ht="15" hidden="false" customHeight="false" outlineLevel="0" collapsed="false">
      <c r="A24" s="8"/>
      <c r="B24" s="9"/>
      <c r="C24" s="10"/>
      <c r="D24" s="11" t="str">
        <f aca="false">IF($B24="","",$B24*$C24)</f>
        <v/>
      </c>
      <c r="E24" s="11" t="str">
        <f aca="false">IF($B24="","",$B24*Assumptions!$B$14)</f>
        <v/>
      </c>
      <c r="F24" s="11" t="str">
        <f aca="false">IF($B24="","",Assumptions!$B$18)</f>
        <v/>
      </c>
      <c r="G24" s="11" t="str">
        <f aca="false">IF($B24="","",$D24-$E24-$F24-$D24*Assumptions!$B$5)</f>
        <v/>
      </c>
      <c r="H24" s="12" t="str">
        <f aca="false">IF($D24="","",IFERROR($G24/$D24,0))</f>
        <v/>
      </c>
    </row>
    <row r="25" customFormat="false" ht="15" hidden="false" customHeight="false" outlineLevel="0" collapsed="false">
      <c r="A25" s="8"/>
      <c r="B25" s="9"/>
      <c r="C25" s="10"/>
      <c r="D25" s="11" t="str">
        <f aca="false">IF($B25="","",$B25*$C25)</f>
        <v/>
      </c>
      <c r="E25" s="11" t="str">
        <f aca="false">IF($B25="","",$B25*Assumptions!$B$14)</f>
        <v/>
      </c>
      <c r="F25" s="11" t="str">
        <f aca="false">IF($B25="","",Assumptions!$B$18)</f>
        <v/>
      </c>
      <c r="G25" s="11" t="str">
        <f aca="false">IF($B25="","",$D25-$E25-$F25-$D25*Assumptions!$B$5)</f>
        <v/>
      </c>
      <c r="H25" s="12" t="str">
        <f aca="false">IF($D25="","",IFERROR($G25/$D25,0))</f>
        <v/>
      </c>
    </row>
    <row r="26" customFormat="false" ht="15" hidden="false" customHeight="false" outlineLevel="0" collapsed="false">
      <c r="A26" s="8"/>
      <c r="B26" s="9"/>
      <c r="C26" s="10"/>
      <c r="D26" s="11" t="str">
        <f aca="false">IF($B26="","",$B26*$C26)</f>
        <v/>
      </c>
      <c r="E26" s="11" t="str">
        <f aca="false">IF($B26="","",$B26*Assumptions!$B$14)</f>
        <v/>
      </c>
      <c r="F26" s="11" t="str">
        <f aca="false">IF($B26="","",Assumptions!$B$18)</f>
        <v/>
      </c>
      <c r="G26" s="11" t="str">
        <f aca="false">IF($B26="","",$D26-$E26-$F26-$D26*Assumptions!$B$5)</f>
        <v/>
      </c>
      <c r="H26" s="12" t="str">
        <f aca="false">IF($D26="","",IFERROR($G26/$D26,0))</f>
        <v/>
      </c>
    </row>
    <row r="27" customFormat="false" ht="15" hidden="false" customHeight="false" outlineLevel="0" collapsed="false">
      <c r="A27" s="8"/>
      <c r="B27" s="9"/>
      <c r="C27" s="10"/>
      <c r="D27" s="11" t="str">
        <f aca="false">IF($B27="","",$B27*$C27)</f>
        <v/>
      </c>
      <c r="E27" s="11" t="str">
        <f aca="false">IF($B27="","",$B27*Assumptions!$B$14)</f>
        <v/>
      </c>
      <c r="F27" s="11" t="str">
        <f aca="false">IF($B27="","",Assumptions!$B$18)</f>
        <v/>
      </c>
      <c r="G27" s="11" t="str">
        <f aca="false">IF($B27="","",$D27-$E27-$F27-$D27*Assumptions!$B$5)</f>
        <v/>
      </c>
      <c r="H27" s="12" t="str">
        <f aca="false">IF($D27="","",IFERROR($G27/$D27,0))</f>
        <v/>
      </c>
    </row>
    <row r="28" customFormat="false" ht="15" hidden="false" customHeight="false" outlineLevel="0" collapsed="false">
      <c r="A28" s="8"/>
      <c r="B28" s="9"/>
      <c r="C28" s="10"/>
      <c r="D28" s="11" t="str">
        <f aca="false">IF($B28="","",$B28*$C28)</f>
        <v/>
      </c>
      <c r="E28" s="11" t="str">
        <f aca="false">IF($B28="","",$B28*Assumptions!$B$14)</f>
        <v/>
      </c>
      <c r="F28" s="11" t="str">
        <f aca="false">IF($B28="","",Assumptions!$B$18)</f>
        <v/>
      </c>
      <c r="G28" s="11" t="str">
        <f aca="false">IF($B28="","",$D28-$E28-$F28-$D28*Assumptions!$B$5)</f>
        <v/>
      </c>
      <c r="H28" s="12" t="str">
        <f aca="false">IF($D28="","",IFERROR($G28/$D28,0))</f>
        <v/>
      </c>
    </row>
    <row r="29" customFormat="false" ht="15" hidden="false" customHeight="false" outlineLevel="0" collapsed="false">
      <c r="A29" s="8"/>
      <c r="B29" s="9"/>
      <c r="C29" s="10"/>
      <c r="D29" s="11" t="str">
        <f aca="false">IF($B29="","",$B29*$C29)</f>
        <v/>
      </c>
      <c r="E29" s="11" t="str">
        <f aca="false">IF($B29="","",$B29*Assumptions!$B$14)</f>
        <v/>
      </c>
      <c r="F29" s="11" t="str">
        <f aca="false">IF($B29="","",Assumptions!$B$18)</f>
        <v/>
      </c>
      <c r="G29" s="11" t="str">
        <f aca="false">IF($B29="","",$D29-$E29-$F29-$D29*Assumptions!$B$5)</f>
        <v/>
      </c>
      <c r="H29" s="12" t="str">
        <f aca="false">IF($D29="","",IFERROR($G29/$D29,0))</f>
        <v/>
      </c>
    </row>
    <row r="30" customFormat="false" ht="15" hidden="false" customHeight="false" outlineLevel="0" collapsed="false">
      <c r="A30" s="8"/>
      <c r="B30" s="9"/>
      <c r="C30" s="10"/>
      <c r="D30" s="11" t="str">
        <f aca="false">IF($B30="","",$B30*$C30)</f>
        <v/>
      </c>
      <c r="E30" s="11" t="str">
        <f aca="false">IF($B30="","",$B30*Assumptions!$B$14)</f>
        <v/>
      </c>
      <c r="F30" s="11" t="str">
        <f aca="false">IF($B30="","",Assumptions!$B$18)</f>
        <v/>
      </c>
      <c r="G30" s="11" t="str">
        <f aca="false">IF($B30="","",$D30-$E30-$F30-$D30*Assumptions!$B$5)</f>
        <v/>
      </c>
      <c r="H30" s="12" t="str">
        <f aca="false">IF($D30="","",IFERROR($G30/$D30,0))</f>
        <v/>
      </c>
    </row>
    <row r="31" customFormat="false" ht="15" hidden="false" customHeight="false" outlineLevel="0" collapsed="false">
      <c r="A31" s="8"/>
      <c r="B31" s="9"/>
      <c r="C31" s="10"/>
      <c r="D31" s="11" t="str">
        <f aca="false">IF($B31="","",$B31*$C31)</f>
        <v/>
      </c>
      <c r="E31" s="11" t="str">
        <f aca="false">IF($B31="","",$B31*Assumptions!$B$14)</f>
        <v/>
      </c>
      <c r="F31" s="11" t="str">
        <f aca="false">IF($B31="","",Assumptions!$B$18)</f>
        <v/>
      </c>
      <c r="G31" s="11" t="str">
        <f aca="false">IF($B31="","",$D31-$E31-$F31-$D31*Assumptions!$B$5)</f>
        <v/>
      </c>
      <c r="H31" s="12" t="str">
        <f aca="false">IF($D31="","",IFERROR($G31/$D31,0))</f>
        <v/>
      </c>
    </row>
    <row r="32" customFormat="false" ht="15" hidden="false" customHeight="false" outlineLevel="0" collapsed="false">
      <c r="A32" s="8"/>
      <c r="B32" s="9"/>
      <c r="C32" s="10"/>
      <c r="D32" s="11" t="str">
        <f aca="false">IF($B32="","",$B32*$C32)</f>
        <v/>
      </c>
      <c r="E32" s="11" t="str">
        <f aca="false">IF($B32="","",$B32*Assumptions!$B$14)</f>
        <v/>
      </c>
      <c r="F32" s="11" t="str">
        <f aca="false">IF($B32="","",Assumptions!$B$18)</f>
        <v/>
      </c>
      <c r="G32" s="11" t="str">
        <f aca="false">IF($B32="","",$D32-$E32-$F32-$D32*Assumptions!$B$5)</f>
        <v/>
      </c>
      <c r="H32" s="12" t="str">
        <f aca="false">IF($D32="","",IFERROR($G32/$D32,0))</f>
        <v/>
      </c>
    </row>
    <row r="33" customFormat="false" ht="15" hidden="false" customHeight="false" outlineLevel="0" collapsed="false">
      <c r="A33" s="8"/>
      <c r="B33" s="9"/>
      <c r="C33" s="10"/>
      <c r="D33" s="11" t="str">
        <f aca="false">IF($B33="","",$B33*$C33)</f>
        <v/>
      </c>
      <c r="E33" s="11" t="str">
        <f aca="false">IF($B33="","",$B33*Assumptions!$B$14)</f>
        <v/>
      </c>
      <c r="F33" s="11" t="str">
        <f aca="false">IF($B33="","",Assumptions!$B$18)</f>
        <v/>
      </c>
      <c r="G33" s="11" t="str">
        <f aca="false">IF($B33="","",$D33-$E33-$F33-$D33*Assumptions!$B$5)</f>
        <v/>
      </c>
      <c r="H33" s="12" t="str">
        <f aca="false">IF($D33="","",IFERROR($G33/$D33,0))</f>
        <v/>
      </c>
    </row>
    <row r="34" customFormat="false" ht="15" hidden="false" customHeight="false" outlineLevel="0" collapsed="false">
      <c r="A34" s="8"/>
      <c r="B34" s="9"/>
      <c r="C34" s="10"/>
      <c r="D34" s="11" t="str">
        <f aca="false">IF($B34="","",$B34*$C34)</f>
        <v/>
      </c>
      <c r="E34" s="11" t="str">
        <f aca="false">IF($B34="","",$B34*Assumptions!$B$14)</f>
        <v/>
      </c>
      <c r="F34" s="11" t="str">
        <f aca="false">IF($B34="","",Assumptions!$B$18)</f>
        <v/>
      </c>
      <c r="G34" s="11" t="str">
        <f aca="false">IF($B34="","",$D34-$E34-$F34-$D34*Assumptions!$B$5)</f>
        <v/>
      </c>
      <c r="H34" s="12" t="str">
        <f aca="false">IF($D34="","",IFERROR($G34/$D34,0))</f>
        <v/>
      </c>
    </row>
    <row r="36" customFormat="false" ht="15" hidden="false" customHeight="false" outlineLevel="0" collapsed="false">
      <c r="A36" s="13" t="s">
        <v>26</v>
      </c>
      <c r="B36" s="14" t="n">
        <f aca="false">SUM(B5:B34)</f>
        <v>2000</v>
      </c>
      <c r="D36" s="15" t="n">
        <f aca="false">SUM(D5:D34)</f>
        <v>240000</v>
      </c>
      <c r="E36" s="15" t="n">
        <f aca="false">SUM(E5:E34)</f>
        <v>30000</v>
      </c>
      <c r="F36" s="15" t="n">
        <f aca="false">SUM(F5:F34)</f>
        <v>6000</v>
      </c>
      <c r="G36" s="15" t="n">
        <f aca="false">SUM(G5:G34)</f>
        <v>199200</v>
      </c>
      <c r="H36" s="16" t="n">
        <f aca="false">IFERROR(G36/D36,0)</f>
        <v>0.83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15" hidden="false" customHeight="false" outlineLevel="0" collapsed="false">
      <c r="A4" s="0" t="s">
        <v>29</v>
      </c>
      <c r="B4" s="17" t="n">
        <f aca="false">SUMPRODUCT(--(Colleges!B5:B34&lt;&gt;""))</f>
        <v>1</v>
      </c>
    </row>
    <row r="5" customFormat="false" ht="15" hidden="false" customHeight="false" outlineLevel="0" collapsed="false">
      <c r="A5" s="0" t="s">
        <v>30</v>
      </c>
      <c r="B5" s="17" t="n">
        <f aca="false">Colleges!B36</f>
        <v>2000</v>
      </c>
    </row>
    <row r="7" customFormat="false" ht="15" hidden="false" customHeight="false" outlineLevel="0" collapsed="false">
      <c r="A7" s="13" t="s">
        <v>31</v>
      </c>
      <c r="B7" s="15" t="n">
        <f aca="false">Colleges!D36</f>
        <v>240000</v>
      </c>
    </row>
    <row r="8" customFormat="false" ht="15" hidden="false" customHeight="false" outlineLevel="0" collapsed="false">
      <c r="A8" s="0" t="s">
        <v>32</v>
      </c>
      <c r="B8" s="6" t="n">
        <f aca="false">B7/12</f>
        <v>20000</v>
      </c>
    </row>
    <row r="10" customFormat="false" ht="15" hidden="false" customHeight="false" outlineLevel="0" collapsed="false">
      <c r="A10" s="0" t="s">
        <v>33</v>
      </c>
      <c r="B10" s="6" t="n">
        <f aca="false">Colleges!E36</f>
        <v>30000</v>
      </c>
    </row>
    <row r="11" customFormat="false" ht="15" hidden="false" customHeight="false" outlineLevel="0" collapsed="false">
      <c r="A11" s="0" t="s">
        <v>34</v>
      </c>
      <c r="B11" s="6" t="n">
        <f aca="false">Colleges!F36</f>
        <v>6000</v>
      </c>
    </row>
    <row r="12" customFormat="false" ht="15" hidden="false" customHeight="false" outlineLevel="0" collapsed="false">
      <c r="A12" s="0" t="s">
        <v>35</v>
      </c>
      <c r="B12" s="6" t="n">
        <f aca="false">Assumptions!B11</f>
        <v>9600</v>
      </c>
    </row>
    <row r="13" customFormat="false" ht="15" hidden="false" customHeight="false" outlineLevel="0" collapsed="false">
      <c r="A13" s="0" t="s">
        <v>36</v>
      </c>
      <c r="B13" s="6" t="n">
        <f aca="false">B10+B11+B12</f>
        <v>45600</v>
      </c>
    </row>
    <row r="15" customFormat="false" ht="15" hidden="false" customHeight="false" outlineLevel="0" collapsed="false">
      <c r="A15" s="0" t="s">
        <v>37</v>
      </c>
      <c r="B15" s="6" t="n">
        <f aca="false">Colleges!G36-B12</f>
        <v>189600</v>
      </c>
    </row>
    <row r="16" customFormat="false" ht="15" hidden="false" customHeight="false" outlineLevel="0" collapsed="false">
      <c r="A16" s="13" t="s">
        <v>38</v>
      </c>
      <c r="B16" s="16" t="n">
        <f aca="false">IFERROR(B15/B7,0)</f>
        <v>0.79</v>
      </c>
    </row>
    <row r="17" customFormat="false" ht="15" hidden="false" customHeight="false" outlineLevel="0" collapsed="false">
      <c r="A17" s="0" t="s">
        <v>39</v>
      </c>
      <c r="B17" s="6" t="n">
        <f aca="false">IFERROR(B13/B5,0)</f>
        <v>22.8</v>
      </c>
    </row>
    <row r="19" customFormat="false" ht="15" hidden="false" customHeight="false" outlineLevel="0" collapsed="false">
      <c r="A19" s="0" t="s">
        <v>40</v>
      </c>
      <c r="B19" s="3" t="n">
        <v>8000</v>
      </c>
    </row>
    <row r="20" customFormat="false" ht="15" hidden="false" customHeight="false" outlineLevel="0" collapsed="false">
      <c r="A20" s="13" t="s">
        <v>41</v>
      </c>
      <c r="B20" s="15" t="n">
        <f aca="false">B15/12</f>
        <v>15800</v>
      </c>
    </row>
    <row r="21" customFormat="false" ht="15" hidden="false" customHeight="false" outlineLevel="0" collapsed="false">
      <c r="A21" s="0" t="s">
        <v>42</v>
      </c>
      <c r="B21" s="17" t="str">
        <f aca="false">IF(B20&gt;=0,"profitable",IFERROR(-B19/B20,0))</f>
        <v>profitable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2026-07-20T14:07:48Z</dcterms:created>
  <dc:creator>openpyxl</dc:creator>
  <dc:description/>
  <dc:language>en-US</dc:language>
  <cp:lastModifiedBy/>
  <dcterms:modified xsi:type="dcterms:W3CDTF">2026-07-20T14:07:48Z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